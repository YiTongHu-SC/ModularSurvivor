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ModularSurvivor\GameConfigs\Datas\HeroLevel\"/>
    </mc:Choice>
  </mc:AlternateContent>
  <xr:revisionPtr revIDLastSave="0" documentId="13_ncr:1_{BAE6AB98-C4E0-4AA3-9FA2-00C88D3CC3AF}" xr6:coauthVersionLast="47" xr6:coauthVersionMax="47" xr10:uidLastSave="{00000000-0000-0000-0000-000000000000}"/>
  <bookViews>
    <workbookView xWindow="10800" yWindow="5460" windowWidth="27570" windowHeight="15345" xr2:uid="{65D75327-87D2-43B9-9515-7EEF86814E57}"/>
  </bookViews>
  <sheets>
    <sheet name="Sheet1" sheetId="1" r:id="rId1"/>
    <sheet name="parameter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G4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4" i="1"/>
  <c r="B7" i="2"/>
  <c r="B6" i="2"/>
  <c r="B5" i="2"/>
  <c r="B4" i="2"/>
  <c r="B3" i="2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4" i="1"/>
</calcChain>
</file>

<file path=xl/sharedStrings.xml><?xml version="1.0" encoding="utf-8"?>
<sst xmlns="http://schemas.openxmlformats.org/spreadsheetml/2006/main" count="30" uniqueCount="27">
  <si>
    <t>##var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</si>
  <si>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</si>
  <si>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</si>
  <si>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</si>
  <si>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key</t>
    <phoneticPr fontId="1" type="noConversion"/>
  </si>
  <si>
    <t>索引键值</t>
    <phoneticPr fontId="1" type="noConversion"/>
  </si>
  <si>
    <t>actor_hero_1</t>
    <phoneticPr fontId="1" type="noConversion"/>
  </si>
  <si>
    <t>float</t>
    <phoneticPr fontId="1" type="noConversion"/>
  </si>
  <si>
    <t>基础力量</t>
    <phoneticPr fontId="1" type="noConversion"/>
  </si>
  <si>
    <t>力量成长</t>
    <phoneticPr fontId="1" type="noConversion"/>
  </si>
  <si>
    <t>level</t>
    <phoneticPr fontId="1" type="noConversion"/>
  </si>
  <si>
    <t>int</t>
    <phoneticPr fontId="1" type="noConversion"/>
  </si>
  <si>
    <t>等级</t>
    <phoneticPr fontId="1" type="noConversion"/>
  </si>
  <si>
    <t>exp</t>
    <phoneticPr fontId="1" type="noConversion"/>
  </si>
  <si>
    <t>升级经验</t>
    <phoneticPr fontId="1" type="noConversion"/>
  </si>
  <si>
    <t>strength</t>
    <phoneticPr fontId="1" type="noConversion"/>
  </si>
  <si>
    <t>力量值</t>
    <phoneticPr fontId="1" type="noConversion"/>
  </si>
  <si>
    <t>health_point</t>
    <phoneticPr fontId="1" type="noConversion"/>
  </si>
  <si>
    <t>最大血量</t>
    <phoneticPr fontId="1" type="noConversion"/>
  </si>
  <si>
    <t>hp_regenration</t>
    <phoneticPr fontId="1" type="noConversion"/>
  </si>
  <si>
    <t>血量回复</t>
    <phoneticPr fontId="1" type="noConversion"/>
  </si>
  <si>
    <t>经验成长</t>
    <phoneticPr fontId="1" type="noConversion"/>
  </si>
  <si>
    <t>参数</t>
    <phoneticPr fontId="1" type="noConversion"/>
  </si>
  <si>
    <t>值</t>
    <phoneticPr fontId="1" type="noConversion"/>
  </si>
  <si>
    <t>HeroKey</t>
    <phoneticPr fontId="1" type="noConversion"/>
  </si>
  <si>
    <t>力量血量</t>
    <phoneticPr fontId="1" type="noConversion"/>
  </si>
  <si>
    <t>力量血量回复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</si>
</sst>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rojects\ModularSurvivor\GameConfigs\Datas\Characters\hero.xlsx" TargetMode="External"/><Relationship Id="rId1" Type="http://schemas.openxmlformats.org/officeDocument/2006/relationships/externalLinkPath" Target="/projects/ModularSurvivor/GameConfigs/Datas/Characters/her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rojects\ModularSurvivor\GameConfigs\Datas\%23game.config.xlsx" TargetMode="External"/><Relationship Id="rId1" Type="http://schemas.openxmlformats.org/officeDocument/2006/relationships/externalLinkPath" Target="/projects/ModularSurvivor/GameConfigs/Datas/%23game.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key</v>
          </cell>
          <cell r="H1" t="str">
            <v>base_strength</v>
          </cell>
          <cell r="I1" t="str">
            <v xml:space="preserve">strength_bonuses </v>
          </cell>
          <cell r="J1" t="str">
            <v xml:space="preserve">exp_bonuses </v>
          </cell>
        </row>
        <row r="2">
          <cell r="B2" t="str">
            <v>string</v>
          </cell>
          <cell r="H2" t="str">
            <v>float</v>
          </cell>
          <cell r="I2" t="str">
            <v>float</v>
          </cell>
          <cell r="J2" t="str">
            <v>int</v>
          </cell>
        </row>
        <row r="3">
          <cell r="B3" t="str">
            <v>索引键值</v>
          </cell>
          <cell r="H3" t="str">
            <v>基础力量</v>
          </cell>
          <cell r="I3" t="str">
            <v>力量成长</v>
          </cell>
          <cell r="J3" t="str">
            <v>经验成长</v>
          </cell>
        </row>
        <row r="4">
          <cell r="B4" t="str">
            <v>actor_hero_1</v>
          </cell>
          <cell r="H4">
            <v>25</v>
          </cell>
          <cell r="I4">
            <v>3</v>
          </cell>
          <cell r="J4">
            <v>10</v>
          </cell>
        </row>
        <row r="5">
          <cell r="B5" t="str">
            <v>actor_hero_2</v>
          </cell>
          <cell r="H5">
            <v>20</v>
          </cell>
          <cell r="I5">
            <v>2</v>
          </cell>
          <cell r="J5">
            <v>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E4">
            <v>22</v>
          </cell>
        </row>
        <row r="5">
          <cell r="E5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149D-7F94-4491-8C3C-719644955913}">
  <dimension ref="A1:L33"/>
  <sheetViews>
    <sheetView tabSelected="1" workbookViewId="0">
      <selection activeCell="F36" sqref="F36"/>
    </sheetView>
  </sheetViews>
  <sheetFormatPr defaultRowHeight="14.25" x14ac:dyDescent="0.2"/>
  <cols>
    <col min="2" max="2" width="18.125" style="5" customWidth="1"/>
    <col min="3" max="3" width="16.125" style="5" customWidth="1"/>
    <col min="4" max="4" width="15.875" style="5" customWidth="1"/>
    <col min="5" max="5" width="12" style="5" customWidth="1"/>
    <col min="6" max="6" width="18.375" style="5" customWidth="1"/>
    <col min="7" max="7" width="21" style="5" customWidth="1"/>
    <col min="8" max="8" width="18.25" customWidth="1"/>
    <col min="9" max="9" width="12.875" customWidth="1"/>
    <col min="10" max="10" width="16.125" customWidth="1"/>
    <col min="11" max="11" width="37.5" customWidth="1"/>
    <col min="12" max="12" width="43.375" customWidth="1"/>
  </cols>
  <sheetData>
    <row r="1" spans="1:12" x14ac:dyDescent="0.2">
      <c r="A1" s="1" t="s">
        <v>0</v>
      </c>
      <c r="B1" s="3" t="s">
        <v>4</v>
      </c>
      <c r="C1" s="3" t="s">
        <v>10</v>
      </c>
      <c r="D1" s="3" t="s">
        <v>13</v>
      </c>
      <c r="E1" s="3" t="s">
        <v>15</v>
      </c>
      <c r="F1" s="3" t="s">
        <v>17</v>
      </c>
      <c r="G1" s="3" t="s">
        <v>19</v>
      </c>
      <c r="H1" s="1"/>
      <c r="I1" s="1"/>
      <c r="J1" s="1"/>
      <c r="K1" s="1"/>
      <c r="L1" s="1"/>
    </row>
    <row r="2" spans="1:12" x14ac:dyDescent="0.2">
      <c r="A2" s="1" t="s">
        <v>1</v>
      </c>
      <c r="B2" s="3" t="s">
        <v>2</v>
      </c>
      <c r="C2" s="3" t="s">
        <v>11</v>
      </c>
      <c r="D2" s="3" t="s">
        <v>11</v>
      </c>
      <c r="E2" s="3" t="s">
        <v>7</v>
      </c>
      <c r="F2" s="3" t="s">
        <v>7</v>
      </c>
      <c r="G2" s="3" t="s">
        <v>7</v>
      </c>
      <c r="H2" s="1"/>
      <c r="I2" s="1"/>
      <c r="J2" s="1"/>
      <c r="K2" s="1"/>
      <c r="L2" s="1"/>
    </row>
    <row r="3" spans="1:12" ht="15" thickBot="1" x14ac:dyDescent="0.25">
      <c r="A3" s="2" t="s">
        <v>3</v>
      </c>
      <c r="B3" s="4" t="s">
        <v>5</v>
      </c>
      <c r="C3" s="4" t="s">
        <v>12</v>
      </c>
      <c r="D3" s="4" t="s">
        <v>14</v>
      </c>
      <c r="E3" s="4" t="s">
        <v>16</v>
      </c>
      <c r="F3" s="4" t="s">
        <v>18</v>
      </c>
      <c r="G3" s="4" t="s">
        <v>20</v>
      </c>
      <c r="H3" s="2"/>
      <c r="I3" s="2"/>
      <c r="J3" s="2"/>
      <c r="K3" s="2"/>
      <c r="L3" s="2"/>
    </row>
    <row r="4" spans="1:12" x14ac:dyDescent="0.2">
      <c r="B4" s="5" t="str">
        <f>parameters!$B$2</f>
        <v>actor_hero_1</v>
      </c>
      <c r="C4" s="5">
        <v>1</v>
      </c>
      <c r="D4" s="5">
        <v>100</v>
      </c>
      <c r="E4" s="5">
        <f>parameters!$B$4+(Sheet1!C4-1)*parameters!$B$5</f>
        <v>25</v>
      </c>
      <c r="F4" s="5">
        <f>E4*parameters!$B$6</f>
        <v>550</v>
      </c>
      <c r="G4" s="5">
        <f>E4*parameters!$B$7</f>
        <v>2.5</v>
      </c>
    </row>
    <row r="5" spans="1:12" x14ac:dyDescent="0.2">
      <c r="B5" s="5" t="str">
        <f>parameters!$B$2</f>
        <v>actor_hero_1</v>
      </c>
      <c r="C5" s="5">
        <v>2</v>
      </c>
      <c r="D5" s="5">
        <f>D4+C4*parameters!$B$3</f>
        <v>110</v>
      </c>
      <c r="E5" s="5">
        <f>parameters!$B$4+(Sheet1!C5-1)*parameters!$B$5</f>
        <v>28</v>
      </c>
      <c r="F5" s="5">
        <f>E5*parameters!$B$6</f>
        <v>616</v>
      </c>
      <c r="G5" s="5">
        <f>E5*parameters!$B$7</f>
        <v>2.8000000000000003</v>
      </c>
    </row>
    <row r="6" spans="1:12" x14ac:dyDescent="0.2">
      <c r="B6" s="5" t="str">
        <f>parameters!$B$2</f>
        <v>actor_hero_1</v>
      </c>
      <c r="C6" s="5">
        <v>3</v>
      </c>
      <c r="D6" s="5">
        <f>D5+C5*parameters!$B$3</f>
        <v>130</v>
      </c>
      <c r="E6" s="5">
        <f>parameters!$B$4+(Sheet1!C6-1)*parameters!$B$5</f>
        <v>31</v>
      </c>
      <c r="F6" s="5">
        <f>E6*parameters!$B$6</f>
        <v>682</v>
      </c>
      <c r="G6" s="5">
        <f>E6*parameters!$B$7</f>
        <v>3.1</v>
      </c>
    </row>
    <row r="7" spans="1:12" x14ac:dyDescent="0.2">
      <c r="B7" s="5" t="str">
        <f>parameters!$B$2</f>
        <v>actor_hero_1</v>
      </c>
      <c r="C7" s="5">
        <v>4</v>
      </c>
      <c r="D7" s="5">
        <f>D6+C6*parameters!$B$3</f>
        <v>160</v>
      </c>
      <c r="E7" s="5">
        <f>parameters!$B$4+(Sheet1!C7-1)*parameters!$B$5</f>
        <v>34</v>
      </c>
      <c r="F7" s="5">
        <f>E7*parameters!$B$6</f>
        <v>748</v>
      </c>
      <c r="G7" s="5">
        <f>E7*parameters!$B$7</f>
        <v>3.4000000000000004</v>
      </c>
    </row>
    <row r="8" spans="1:12" x14ac:dyDescent="0.2">
      <c r="B8" s="5" t="str">
        <f>parameters!$B$2</f>
        <v>actor_hero_1</v>
      </c>
      <c r="C8" s="5">
        <v>5</v>
      </c>
      <c r="D8" s="5">
        <f>D7+C7*parameters!$B$3</f>
        <v>200</v>
      </c>
      <c r="E8" s="5">
        <f>parameters!$B$4+(Sheet1!C8-1)*parameters!$B$5</f>
        <v>37</v>
      </c>
      <c r="F8" s="5">
        <f>E8*parameters!$B$6</f>
        <v>814</v>
      </c>
      <c r="G8" s="5">
        <f>E8*parameters!$B$7</f>
        <v>3.7</v>
      </c>
    </row>
    <row r="9" spans="1:12" x14ac:dyDescent="0.2">
      <c r="B9" s="5" t="str">
        <f>parameters!$B$2</f>
        <v>actor_hero_1</v>
      </c>
      <c r="C9" s="5">
        <v>6</v>
      </c>
      <c r="D9" s="5">
        <f>D8+C8*parameters!$B$3</f>
        <v>250</v>
      </c>
      <c r="E9" s="5">
        <f>parameters!$B$4+(Sheet1!C9-1)*parameters!$B$5</f>
        <v>40</v>
      </c>
      <c r="F9" s="5">
        <f>E9*parameters!$B$6</f>
        <v>880</v>
      </c>
      <c r="G9" s="5">
        <f>E9*parameters!$B$7</f>
        <v>4</v>
      </c>
    </row>
    <row r="10" spans="1:12" x14ac:dyDescent="0.2">
      <c r="B10" s="5" t="str">
        <f>parameters!$B$2</f>
        <v>actor_hero_1</v>
      </c>
      <c r="C10" s="5">
        <v>7</v>
      </c>
      <c r="D10" s="5">
        <f>D9+C9*parameters!$B$3</f>
        <v>310</v>
      </c>
      <c r="E10" s="5">
        <f>parameters!$B$4+(Sheet1!C10-1)*parameters!$B$5</f>
        <v>43</v>
      </c>
      <c r="F10" s="5">
        <f>E10*parameters!$B$6</f>
        <v>946</v>
      </c>
      <c r="G10" s="5">
        <f>E10*parameters!$B$7</f>
        <v>4.3</v>
      </c>
    </row>
    <row r="11" spans="1:12" x14ac:dyDescent="0.2">
      <c r="B11" s="5" t="str">
        <f>parameters!$B$2</f>
        <v>actor_hero_1</v>
      </c>
      <c r="C11" s="5">
        <v>8</v>
      </c>
      <c r="D11" s="5">
        <f>D10+C10*parameters!$B$3</f>
        <v>380</v>
      </c>
      <c r="E11" s="5">
        <f>parameters!$B$4+(Sheet1!C11-1)*parameters!$B$5</f>
        <v>46</v>
      </c>
      <c r="F11" s="5">
        <f>E11*parameters!$B$6</f>
        <v>1012</v>
      </c>
      <c r="G11" s="5">
        <f>E11*parameters!$B$7</f>
        <v>4.6000000000000005</v>
      </c>
    </row>
    <row r="12" spans="1:12" x14ac:dyDescent="0.2">
      <c r="B12" s="5" t="str">
        <f>parameters!$B$2</f>
        <v>actor_hero_1</v>
      </c>
      <c r="C12" s="5">
        <v>9</v>
      </c>
      <c r="D12" s="5">
        <f>D11+C11*parameters!$B$3</f>
        <v>460</v>
      </c>
      <c r="E12" s="5">
        <f>parameters!$B$4+(Sheet1!C12-1)*parameters!$B$5</f>
        <v>49</v>
      </c>
      <c r="F12" s="5">
        <f>E12*parameters!$B$6</f>
        <v>1078</v>
      </c>
      <c r="G12" s="5">
        <f>E12*parameters!$B$7</f>
        <v>4.9000000000000004</v>
      </c>
    </row>
    <row r="13" spans="1:12" x14ac:dyDescent="0.2">
      <c r="B13" s="5" t="str">
        <f>parameters!$B$2</f>
        <v>actor_hero_1</v>
      </c>
      <c r="C13" s="5">
        <v>10</v>
      </c>
      <c r="D13" s="5">
        <f>D12+C12*parameters!$B$3</f>
        <v>550</v>
      </c>
      <c r="E13" s="5">
        <f>parameters!$B$4+(Sheet1!C13-1)*parameters!$B$5</f>
        <v>52</v>
      </c>
      <c r="F13" s="5">
        <f>E13*parameters!$B$6</f>
        <v>1144</v>
      </c>
      <c r="G13" s="5">
        <f>E13*parameters!$B$7</f>
        <v>5.2</v>
      </c>
    </row>
    <row r="14" spans="1:12" x14ac:dyDescent="0.2">
      <c r="B14" s="5" t="str">
        <f>parameters!$B$2</f>
        <v>actor_hero_1</v>
      </c>
      <c r="C14" s="5">
        <v>11</v>
      </c>
      <c r="D14" s="5">
        <f>D13+C13*parameters!$B$3</f>
        <v>650</v>
      </c>
      <c r="E14" s="5">
        <f>parameters!$B$4+(Sheet1!C14-1)*parameters!$B$5</f>
        <v>55</v>
      </c>
      <c r="F14" s="5">
        <f>E14*parameters!$B$6</f>
        <v>1210</v>
      </c>
      <c r="G14" s="5">
        <f>E14*parameters!$B$7</f>
        <v>5.5</v>
      </c>
    </row>
    <row r="15" spans="1:12" x14ac:dyDescent="0.2">
      <c r="B15" s="5" t="str">
        <f>parameters!$B$2</f>
        <v>actor_hero_1</v>
      </c>
      <c r="C15" s="5">
        <v>12</v>
      </c>
      <c r="D15" s="5">
        <f>D14+C14*parameters!$B$3</f>
        <v>760</v>
      </c>
      <c r="E15" s="5">
        <f>parameters!$B$4+(Sheet1!C15-1)*parameters!$B$5</f>
        <v>58</v>
      </c>
      <c r="F15" s="5">
        <f>E15*parameters!$B$6</f>
        <v>1276</v>
      </c>
      <c r="G15" s="5">
        <f>E15*parameters!$B$7</f>
        <v>5.8000000000000007</v>
      </c>
    </row>
    <row r="16" spans="1:12" x14ac:dyDescent="0.2">
      <c r="B16" s="5" t="str">
        <f>parameters!$B$2</f>
        <v>actor_hero_1</v>
      </c>
      <c r="C16" s="5">
        <v>13</v>
      </c>
      <c r="D16" s="5">
        <f>D15+C15*parameters!$B$3</f>
        <v>880</v>
      </c>
      <c r="E16" s="5">
        <f>parameters!$B$4+(Sheet1!C16-1)*parameters!$B$5</f>
        <v>61</v>
      </c>
      <c r="F16" s="5">
        <f>E16*parameters!$B$6</f>
        <v>1342</v>
      </c>
      <c r="G16" s="5">
        <f>E16*parameters!$B$7</f>
        <v>6.1000000000000005</v>
      </c>
    </row>
    <row r="17" spans="2:7" x14ac:dyDescent="0.2">
      <c r="B17" s="5" t="str">
        <f>parameters!$B$2</f>
        <v>actor_hero_1</v>
      </c>
      <c r="C17" s="5">
        <v>14</v>
      </c>
      <c r="D17" s="5">
        <f>D16+C16*parameters!$B$3</f>
        <v>1010</v>
      </c>
      <c r="E17" s="5">
        <f>parameters!$B$4+(Sheet1!C17-1)*parameters!$B$5</f>
        <v>64</v>
      </c>
      <c r="F17" s="5">
        <f>E17*parameters!$B$6</f>
        <v>1408</v>
      </c>
      <c r="G17" s="5">
        <f>E17*parameters!$B$7</f>
        <v>6.4</v>
      </c>
    </row>
    <row r="18" spans="2:7" x14ac:dyDescent="0.2">
      <c r="B18" s="5" t="str">
        <f>parameters!$B$2</f>
        <v>actor_hero_1</v>
      </c>
      <c r="C18" s="5">
        <v>15</v>
      </c>
      <c r="D18" s="5">
        <f>D17+C17*parameters!$B$3</f>
        <v>1150</v>
      </c>
      <c r="E18" s="5">
        <f>parameters!$B$4+(Sheet1!C18-1)*parameters!$B$5</f>
        <v>67</v>
      </c>
      <c r="F18" s="5">
        <f>E18*parameters!$B$6</f>
        <v>1474</v>
      </c>
      <c r="G18" s="5">
        <f>E18*parameters!$B$7</f>
        <v>6.7</v>
      </c>
    </row>
    <row r="19" spans="2:7" x14ac:dyDescent="0.2">
      <c r="B19" s="5" t="str">
        <f>parameters!$B$2</f>
        <v>actor_hero_1</v>
      </c>
      <c r="C19" s="5">
        <v>16</v>
      </c>
      <c r="D19" s="5">
        <f>D18+C18*parameters!$B$3</f>
        <v>1300</v>
      </c>
      <c r="E19" s="5">
        <f>parameters!$B$4+(Sheet1!C19-1)*parameters!$B$5</f>
        <v>70</v>
      </c>
      <c r="F19" s="5">
        <f>E19*parameters!$B$6</f>
        <v>1540</v>
      </c>
      <c r="G19" s="5">
        <f>E19*parameters!$B$7</f>
        <v>7</v>
      </c>
    </row>
    <row r="20" spans="2:7" x14ac:dyDescent="0.2">
      <c r="B20" s="5" t="str">
        <f>parameters!$B$2</f>
        <v>actor_hero_1</v>
      </c>
      <c r="C20" s="5">
        <v>17</v>
      </c>
      <c r="D20" s="5">
        <f>D19+C19*parameters!$B$3</f>
        <v>1460</v>
      </c>
      <c r="E20" s="5">
        <f>parameters!$B$4+(Sheet1!C20-1)*parameters!$B$5</f>
        <v>73</v>
      </c>
      <c r="F20" s="5">
        <f>E20*parameters!$B$6</f>
        <v>1606</v>
      </c>
      <c r="G20" s="5">
        <f>E20*parameters!$B$7</f>
        <v>7.3000000000000007</v>
      </c>
    </row>
    <row r="21" spans="2:7" x14ac:dyDescent="0.2">
      <c r="B21" s="5" t="str">
        <f>parameters!$B$2</f>
        <v>actor_hero_1</v>
      </c>
      <c r="C21" s="5">
        <v>18</v>
      </c>
      <c r="D21" s="5">
        <f>D20+C20*parameters!$B$3</f>
        <v>1630</v>
      </c>
      <c r="E21" s="5">
        <f>parameters!$B$4+(Sheet1!C21-1)*parameters!$B$5</f>
        <v>76</v>
      </c>
      <c r="F21" s="5">
        <f>E21*parameters!$B$6</f>
        <v>1672</v>
      </c>
      <c r="G21" s="5">
        <f>E21*parameters!$B$7</f>
        <v>7.6000000000000005</v>
      </c>
    </row>
    <row r="22" spans="2:7" x14ac:dyDescent="0.2">
      <c r="B22" s="5" t="str">
        <f>parameters!$B$2</f>
        <v>actor_hero_1</v>
      </c>
      <c r="C22" s="5">
        <v>19</v>
      </c>
      <c r="D22" s="5">
        <f>D21+C21*parameters!$B$3</f>
        <v>1810</v>
      </c>
      <c r="E22" s="5">
        <f>parameters!$B$4+(Sheet1!C22-1)*parameters!$B$5</f>
        <v>79</v>
      </c>
      <c r="F22" s="5">
        <f>E22*parameters!$B$6</f>
        <v>1738</v>
      </c>
      <c r="G22" s="5">
        <f>E22*parameters!$B$7</f>
        <v>7.9</v>
      </c>
    </row>
    <row r="23" spans="2:7" x14ac:dyDescent="0.2">
      <c r="B23" s="5" t="str">
        <f>parameters!$B$2</f>
        <v>actor_hero_1</v>
      </c>
      <c r="C23" s="5">
        <v>20</v>
      </c>
      <c r="D23" s="5">
        <f>D22+C22*parameters!$B$3</f>
        <v>2000</v>
      </c>
      <c r="E23" s="5">
        <f>parameters!$B$4+(Sheet1!C23-1)*parameters!$B$5</f>
        <v>82</v>
      </c>
      <c r="F23" s="5">
        <f>E23*parameters!$B$6</f>
        <v>1804</v>
      </c>
      <c r="G23" s="5">
        <f>E23*parameters!$B$7</f>
        <v>8.2000000000000011</v>
      </c>
    </row>
    <row r="24" spans="2:7" x14ac:dyDescent="0.2">
      <c r="B24" s="5" t="str">
        <f>parameters!$B$2</f>
        <v>actor_hero_1</v>
      </c>
      <c r="C24" s="5">
        <v>21</v>
      </c>
      <c r="D24" s="5">
        <f>D23+C23*parameters!$B$3</f>
        <v>2200</v>
      </c>
      <c r="E24" s="5">
        <f>parameters!$B$4+(Sheet1!C24-1)*parameters!$B$5</f>
        <v>85</v>
      </c>
      <c r="F24" s="5">
        <f>E24*parameters!$B$6</f>
        <v>1870</v>
      </c>
      <c r="G24" s="5">
        <f>E24*parameters!$B$7</f>
        <v>8.5</v>
      </c>
    </row>
    <row r="25" spans="2:7" x14ac:dyDescent="0.2">
      <c r="B25" s="5" t="str">
        <f>parameters!$B$2</f>
        <v>actor_hero_1</v>
      </c>
      <c r="C25" s="5">
        <v>22</v>
      </c>
      <c r="D25" s="5">
        <f>D24+C24*parameters!$B$3</f>
        <v>2410</v>
      </c>
      <c r="E25" s="5">
        <f>parameters!$B$4+(Sheet1!C25-1)*parameters!$B$5</f>
        <v>88</v>
      </c>
      <c r="F25" s="5">
        <f>E25*parameters!$B$6</f>
        <v>1936</v>
      </c>
      <c r="G25" s="5">
        <f>E25*parameters!$B$7</f>
        <v>8.8000000000000007</v>
      </c>
    </row>
    <row r="26" spans="2:7" x14ac:dyDescent="0.2">
      <c r="B26" s="5" t="str">
        <f>parameters!$B$2</f>
        <v>actor_hero_1</v>
      </c>
      <c r="C26" s="5">
        <v>23</v>
      </c>
      <c r="D26" s="5">
        <f>D25+C25*parameters!$B$3</f>
        <v>2630</v>
      </c>
      <c r="E26" s="5">
        <f>parameters!$B$4+(Sheet1!C26-1)*parameters!$B$5</f>
        <v>91</v>
      </c>
      <c r="F26" s="5">
        <f>E26*parameters!$B$6</f>
        <v>2002</v>
      </c>
      <c r="G26" s="5">
        <f>E26*parameters!$B$7</f>
        <v>9.1</v>
      </c>
    </row>
    <row r="27" spans="2:7" x14ac:dyDescent="0.2">
      <c r="B27" s="5" t="str">
        <f>parameters!$B$2</f>
        <v>actor_hero_1</v>
      </c>
      <c r="C27" s="5">
        <v>24</v>
      </c>
      <c r="D27" s="5">
        <f>D26+C26*parameters!$B$3</f>
        <v>2860</v>
      </c>
      <c r="E27" s="5">
        <f>parameters!$B$4+(Sheet1!C27-1)*parameters!$B$5</f>
        <v>94</v>
      </c>
      <c r="F27" s="5">
        <f>E27*parameters!$B$6</f>
        <v>2068</v>
      </c>
      <c r="G27" s="5">
        <f>E27*parameters!$B$7</f>
        <v>9.4</v>
      </c>
    </row>
    <row r="28" spans="2:7" x14ac:dyDescent="0.2">
      <c r="B28" s="5" t="str">
        <f>parameters!$B$2</f>
        <v>actor_hero_1</v>
      </c>
      <c r="C28" s="5">
        <v>25</v>
      </c>
      <c r="D28" s="5">
        <f>D27+C27*parameters!$B$3</f>
        <v>3100</v>
      </c>
      <c r="E28" s="5">
        <f>parameters!$B$4+(Sheet1!C28-1)*parameters!$B$5</f>
        <v>97</v>
      </c>
      <c r="F28" s="5">
        <f>E28*parameters!$B$6</f>
        <v>2134</v>
      </c>
      <c r="G28" s="5">
        <f>E28*parameters!$B$7</f>
        <v>9.7000000000000011</v>
      </c>
    </row>
    <row r="29" spans="2:7" x14ac:dyDescent="0.2">
      <c r="B29" s="5" t="str">
        <f>parameters!$B$2</f>
        <v>actor_hero_1</v>
      </c>
      <c r="C29" s="5">
        <v>26</v>
      </c>
      <c r="D29" s="5">
        <f>D28+C28*parameters!$B$3</f>
        <v>3350</v>
      </c>
      <c r="E29" s="5">
        <f>parameters!$B$4+(Sheet1!C29-1)*parameters!$B$5</f>
        <v>100</v>
      </c>
      <c r="F29" s="5">
        <f>E29*parameters!$B$6</f>
        <v>2200</v>
      </c>
      <c r="G29" s="5">
        <f>E29*parameters!$B$7</f>
        <v>10</v>
      </c>
    </row>
    <row r="30" spans="2:7" x14ac:dyDescent="0.2">
      <c r="B30" s="5" t="str">
        <f>parameters!$B$2</f>
        <v>actor_hero_1</v>
      </c>
      <c r="C30" s="5">
        <v>27</v>
      </c>
      <c r="D30" s="5">
        <f>D29+C29*parameters!$B$3</f>
        <v>3610</v>
      </c>
      <c r="E30" s="5">
        <f>parameters!$B$4+(Sheet1!C30-1)*parameters!$B$5</f>
        <v>103</v>
      </c>
      <c r="F30" s="5">
        <f>E30*parameters!$B$6</f>
        <v>2266</v>
      </c>
      <c r="G30" s="5">
        <f>E30*parameters!$B$7</f>
        <v>10.3</v>
      </c>
    </row>
    <row r="31" spans="2:7" x14ac:dyDescent="0.2">
      <c r="B31" s="5" t="str">
        <f>parameters!$B$2</f>
        <v>actor_hero_1</v>
      </c>
      <c r="C31" s="5">
        <v>28</v>
      </c>
      <c r="D31" s="5">
        <f>D30+C30*parameters!$B$3</f>
        <v>3880</v>
      </c>
      <c r="E31" s="5">
        <f>parameters!$B$4+(Sheet1!C31-1)*parameters!$B$5</f>
        <v>106</v>
      </c>
      <c r="F31" s="5">
        <f>E31*parameters!$B$6</f>
        <v>2332</v>
      </c>
      <c r="G31" s="5">
        <f>E31*parameters!$B$7</f>
        <v>10.600000000000001</v>
      </c>
    </row>
    <row r="32" spans="2:7" x14ac:dyDescent="0.2">
      <c r="B32" s="5" t="str">
        <f>parameters!$B$2</f>
        <v>actor_hero_1</v>
      </c>
      <c r="C32" s="5">
        <v>29</v>
      </c>
      <c r="D32" s="5">
        <f>D31+C31*parameters!$B$3</f>
        <v>4160</v>
      </c>
      <c r="E32" s="5">
        <f>parameters!$B$4+(Sheet1!C32-1)*parameters!$B$5</f>
        <v>109</v>
      </c>
      <c r="F32" s="5">
        <f>E32*parameters!$B$6</f>
        <v>2398</v>
      </c>
      <c r="G32" s="5">
        <f>E32*parameters!$B$7</f>
        <v>10.9</v>
      </c>
    </row>
    <row r="33" spans="2:7" x14ac:dyDescent="0.2">
      <c r="B33" s="5" t="str">
        <f>parameters!$B$2</f>
        <v>actor_hero_1</v>
      </c>
      <c r="C33" s="5">
        <v>30</v>
      </c>
      <c r="D33" s="5">
        <f>D32+C32*parameters!$B$3</f>
        <v>4450</v>
      </c>
      <c r="E33" s="5">
        <f>parameters!$B$4+(Sheet1!C33-1)*parameters!$B$5</f>
        <v>112</v>
      </c>
      <c r="F33" s="5">
        <f>E33*parameters!$B$6</f>
        <v>2464</v>
      </c>
      <c r="G33" s="5">
        <f>E33*parameters!$B$7</f>
        <v>11.200000000000001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DF7B-F743-4718-9A12-0057ABDAE4F5}">
  <dimension ref="A1:B7"/>
  <sheetViews>
    <sheetView workbookViewId="0">
      <selection activeCell="C20" sqref="C20"/>
    </sheetView>
  </sheetViews>
  <sheetFormatPr defaultRowHeight="14.25" x14ac:dyDescent="0.2"/>
  <cols>
    <col min="1" max="1" width="12.125" customWidth="1"/>
    <col min="2" max="2" width="13.25" customWidth="1"/>
  </cols>
  <sheetData>
    <row r="1" spans="1:2" x14ac:dyDescent="0.2">
      <c r="A1" s="1" t="s">
        <v>22</v>
      </c>
      <c r="B1" s="1" t="s">
        <v>23</v>
      </c>
    </row>
    <row r="2" spans="1:2" x14ac:dyDescent="0.2">
      <c r="A2" s="1" t="s">
        <v>24</v>
      </c>
      <c r="B2" s="1" t="s">
        <v>6</v>
      </c>
    </row>
    <row r="3" spans="1:2" x14ac:dyDescent="0.2">
      <c r="A3" t="s">
        <v>21</v>
      </c>
      <c r="B3">
        <f>_xlfn.XLOOKUP($B$2,[1]Sheet1!$B:$B,[1]Sheet1!$J:$J)</f>
        <v>10</v>
      </c>
    </row>
    <row r="4" spans="1:2" x14ac:dyDescent="0.2">
      <c r="A4" t="s">
        <v>8</v>
      </c>
      <c r="B4">
        <f>_xlfn.XLOOKUP($B$2,[1]Sheet1!$B:$B,[1]Sheet1!$H:$H)</f>
        <v>25</v>
      </c>
    </row>
    <row r="5" spans="1:2" x14ac:dyDescent="0.2">
      <c r="A5" t="s">
        <v>9</v>
      </c>
      <c r="B5">
        <f>_xlfn.XLOOKUP($B$2,[1]Sheet1!$B:$B,[1]Sheet1!$I:$I)</f>
        <v>3</v>
      </c>
    </row>
    <row r="6" spans="1:2" x14ac:dyDescent="0.2">
      <c r="A6" t="s">
        <v>25</v>
      </c>
      <c r="B6">
        <f>[2]Sheet1!$E$4</f>
        <v>22</v>
      </c>
    </row>
    <row r="7" spans="1:2" x14ac:dyDescent="0.2">
      <c r="A7" t="s">
        <v>26</v>
      </c>
      <c r="B7">
        <f>[2]Sheet1!$E$5</f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Hu</dc:creator>
  <cp:lastModifiedBy>Yitong Hu</cp:lastModifiedBy>
  <dcterms:created xsi:type="dcterms:W3CDTF">2025-12-04T02:56:27Z</dcterms:created>
  <dcterms:modified xsi:type="dcterms:W3CDTF">2025-12-31T05:00:23Z</dcterms:modified>
</cp:coreProperties>
</file>